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i\Desktop\"/>
    </mc:Choice>
  </mc:AlternateContent>
  <xr:revisionPtr revIDLastSave="0" documentId="13_ncr:1_{A01929F2-A99A-414C-9E7A-27E6CBBAF3A5}" xr6:coauthVersionLast="47" xr6:coauthVersionMax="47" xr10:uidLastSave="{00000000-0000-0000-0000-000000000000}"/>
  <bookViews>
    <workbookView xWindow="20370" yWindow="-120" windowWidth="29040" windowHeight="15720" activeTab="3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4" i="4"/>
  <c r="G10" i="4"/>
  <c r="G11" i="4"/>
  <c r="G12" i="4"/>
  <c r="G14" i="4"/>
  <c r="G16" i="4"/>
  <c r="G17" i="4"/>
  <c r="G18" i="4"/>
  <c r="E4" i="4"/>
  <c r="E5" i="4"/>
  <c r="G5" i="4" s="1"/>
  <c r="E6" i="4"/>
  <c r="G6" i="4" s="1"/>
  <c r="E7" i="4"/>
  <c r="G7" i="4" s="1"/>
  <c r="E8" i="4"/>
  <c r="G8" i="4" s="1"/>
  <c r="E9" i="4"/>
  <c r="G9" i="4" s="1"/>
  <c r="E10" i="4"/>
  <c r="E11" i="4"/>
  <c r="E12" i="4"/>
  <c r="E13" i="4"/>
  <c r="G13" i="4" s="1"/>
  <c r="E14" i="4"/>
  <c r="E15" i="4"/>
  <c r="G15" i="4" s="1"/>
  <c r="E16" i="4"/>
  <c r="E17" i="4"/>
  <c r="E18" i="4"/>
  <c r="E19" i="4"/>
  <c r="G19" i="4" s="1"/>
  <c r="E20" i="4"/>
  <c r="G20" i="4" s="1"/>
  <c r="E21" i="4"/>
  <c r="G21" i="4" s="1"/>
  <c r="E3" i="4"/>
  <c r="G3" i="4" s="1"/>
  <c r="E2" i="4"/>
  <c r="G2" i="4" s="1"/>
  <c r="C28" i="1"/>
  <c r="C29" i="1" s="1"/>
  <c r="G29" i="1"/>
  <c r="F28" i="1"/>
  <c r="F29" i="1" s="1"/>
  <c r="E28" i="1"/>
  <c r="E29" i="1" s="1"/>
  <c r="D28" i="1"/>
  <c r="D29" i="1" s="1"/>
  <c r="H6" i="4" l="1"/>
  <c r="H10" i="4"/>
  <c r="H14" i="4"/>
  <c r="H18" i="4"/>
  <c r="H2" i="4"/>
  <c r="H7" i="4"/>
  <c r="H11" i="4"/>
  <c r="H3" i="4"/>
  <c r="H15" i="4"/>
  <c r="H4" i="4"/>
  <c r="H8" i="4"/>
  <c r="H12" i="4"/>
  <c r="H16" i="4"/>
  <c r="H20" i="4"/>
  <c r="H9" i="4"/>
  <c r="H13" i="4"/>
  <c r="H17" i="4"/>
  <c r="H21" i="4"/>
  <c r="H5" i="4"/>
  <c r="H19" i="4"/>
  <c r="H28" i="4" l="1"/>
  <c r="H29" i="4" s="1"/>
</calcChain>
</file>

<file path=xl/sharedStrings.xml><?xml version="1.0" encoding="utf-8"?>
<sst xmlns="http://schemas.openxmlformats.org/spreadsheetml/2006/main" count="110" uniqueCount="64">
  <si>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</si>
  <si>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</si>
  <si>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</si>
  <si>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</si>
  <si>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</si>
  <si>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</si>
  <si>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</si>
  <si>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</si>
  <si>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</si>
  <si>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</si>
  <si>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</si>
  <si>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</si>
  <si>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</si>
  <si>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</si>
  <si>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</si>
  <si>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</si>
  <si>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</si>
  <si>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</si>
  <si>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</si>
  <si>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</si>
  <si>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</si>
  <si>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</si>
  <si>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</si>
  <si>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</si>
  <si>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</si>
  <si>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</si>
  <si>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</si>
  <si>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</si>
  <si>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</si>
  <si>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</si>
  <si>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</si>
  <si>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</si>
  <si>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</si>
  <si>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</si>
  <si>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</si>
  <si>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</si>
  <si>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</si>
  <si>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</si>
  <si>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</si>
  <si>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</si>
  <si>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</si>
  <si>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</si>
  <si>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</si>
  <si>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</si>
  <si>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</si>
  <si>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</si>
  <si>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</si>
  <si>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</si>
  <si>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</si>
  <si>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</si>
  <si>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</si>
  <si>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</si>
  <si>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Manuel Chica Lopez se incorporó mas tarde en el grupo, por esto tiene menos horas en Clockify</t>
  </si>
  <si>
    <t>Comentarios sobre S2</t>
  </si>
  <si>
    <t>Notas métricas individuales</t>
  </si>
  <si>
    <t>Horas Clockify</t>
  </si>
  <si>
    <t>Horas mínimas #S2 (30 horas)</t>
  </si>
  <si>
    <t>Métricas individuales</t>
  </si>
  <si>
    <t>Notas total #S2</t>
  </si>
  <si>
    <t>Media 50% entre métricas y clockify</t>
  </si>
  <si>
    <t>Horas ponderadas</t>
  </si>
  <si>
    <t>Porcentaje Horas #S2</t>
  </si>
  <si>
    <t>(El formato de las horas el excel lo transforma a dias por eso se ve asi)</t>
  </si>
  <si>
    <t xml:space="preserve">Numero de Miembros: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</si>
</sst>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2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0" fontId="0" fillId="0" borderId="0" xfId="1" applyNumberFormat="1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24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8"/>
  <sheetViews>
    <sheetView zoomScale="90" workbookViewId="0">
      <selection activeCell="J14" sqref="J14"/>
    </sheetView>
  </sheetViews>
  <sheetFormatPr baseColWidth="10" defaultColWidth="11.42578125" defaultRowHeight="15" x14ac:dyDescent="0.25"/>
  <cols>
    <col min="1" max="1" width="16.28515625" customWidth="1"/>
    <col min="2" max="2" width="38.28515625" customWidth="1"/>
    <col min="3" max="7" width="10.7109375" style="2" customWidth="1"/>
  </cols>
  <sheetData>
    <row r="1" spans="1:7" s="5" customFormat="1" ht="48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 thickBot="1" x14ac:dyDescent="0.3">
      <c r="A2" s="1" t="s">
        <v>7</v>
      </c>
      <c r="B2" s="1" t="s">
        <v>8</v>
      </c>
      <c r="C2" s="3">
        <v>1.2</v>
      </c>
      <c r="D2" s="3">
        <v>1</v>
      </c>
      <c r="E2" s="3">
        <v>1.0900000000000001</v>
      </c>
      <c r="F2" s="3"/>
      <c r="G2" s="3"/>
    </row>
    <row r="3" spans="1:7" ht="30" customHeight="1" thickBot="1" x14ac:dyDescent="0.3">
      <c r="A3" s="1" t="s">
        <v>9</v>
      </c>
      <c r="B3" s="1" t="s">
        <v>10</v>
      </c>
      <c r="C3" s="3">
        <v>1</v>
      </c>
      <c r="D3" s="3">
        <v>1</v>
      </c>
      <c r="E3" s="3">
        <v>0.84</v>
      </c>
      <c r="F3" s="3"/>
      <c r="G3" s="3"/>
    </row>
    <row r="4" spans="1:7" ht="15.75" thickBot="1" x14ac:dyDescent="0.3">
      <c r="A4" s="1" t="s">
        <v>11</v>
      </c>
      <c r="B4" s="1" t="s">
        <v>12</v>
      </c>
      <c r="C4" s="3">
        <v>1</v>
      </c>
      <c r="D4" s="3">
        <v>1</v>
      </c>
      <c r="E4" s="3">
        <v>1.1100000000000001</v>
      </c>
      <c r="F4" s="3"/>
      <c r="G4" s="3"/>
    </row>
    <row r="5" spans="1:7" ht="15.75" thickBot="1" x14ac:dyDescent="0.3">
      <c r="A5" s="1" t="s">
        <v>11</v>
      </c>
      <c r="B5" s="1" t="s">
        <v>13</v>
      </c>
      <c r="C5" s="3">
        <v>0.8</v>
      </c>
      <c r="D5" s="3">
        <v>0.9</v>
      </c>
      <c r="E5" s="3">
        <v>0.79</v>
      </c>
      <c r="F5" s="3"/>
      <c r="G5" s="3"/>
    </row>
    <row r="6" spans="1:7" x14ac:dyDescent="0.25">
      <c r="A6" s="1" t="s">
        <v>14</v>
      </c>
      <c r="B6" s="1" t="s">
        <v>15</v>
      </c>
      <c r="C6" s="3">
        <v>1</v>
      </c>
      <c r="D6" s="3">
        <v>1</v>
      </c>
      <c r="E6" s="3">
        <v>1.1000000000000001</v>
      </c>
      <c r="F6" s="3"/>
      <c r="G6" s="3"/>
    </row>
    <row r="7" spans="1:7" ht="15.75" thickBot="1" x14ac:dyDescent="0.3">
      <c r="A7" s="1" t="s">
        <v>16</v>
      </c>
      <c r="B7" s="1" t="s">
        <v>17</v>
      </c>
      <c r="C7" s="3">
        <v>1</v>
      </c>
      <c r="D7" s="3">
        <v>1</v>
      </c>
      <c r="E7" s="3">
        <v>0.89</v>
      </c>
      <c r="F7" s="3"/>
      <c r="G7" s="3"/>
    </row>
    <row r="8" spans="1:7" ht="15.75" thickBot="1" x14ac:dyDescent="0.3">
      <c r="A8" s="1" t="s">
        <v>18</v>
      </c>
      <c r="B8" s="1" t="s">
        <v>19</v>
      </c>
      <c r="C8" s="3">
        <v>1</v>
      </c>
      <c r="D8" s="3">
        <v>1</v>
      </c>
      <c r="E8" s="3">
        <v>1.0900000000000001</v>
      </c>
      <c r="F8" s="3"/>
      <c r="G8" s="3"/>
    </row>
    <row r="9" spans="1:7" ht="15.75" thickBot="1" x14ac:dyDescent="0.3">
      <c r="A9" s="1" t="s">
        <v>20</v>
      </c>
      <c r="B9" s="1" t="s">
        <v>21</v>
      </c>
      <c r="C9" s="3">
        <v>1</v>
      </c>
      <c r="D9" s="3">
        <v>1</v>
      </c>
      <c r="E9" s="3">
        <v>0.84</v>
      </c>
      <c r="F9" s="3"/>
      <c r="G9" s="3"/>
    </row>
    <row r="10" spans="1:7" ht="15.75" thickBot="1" x14ac:dyDescent="0.3">
      <c r="A10" s="1" t="s">
        <v>22</v>
      </c>
      <c r="B10" s="1" t="s">
        <v>23</v>
      </c>
      <c r="C10" s="3">
        <v>1</v>
      </c>
      <c r="D10" s="3">
        <v>1</v>
      </c>
      <c r="E10" s="3">
        <v>1.18</v>
      </c>
      <c r="F10" s="3"/>
      <c r="G10" s="3"/>
    </row>
    <row r="11" spans="1:7" ht="15.75" thickBot="1" x14ac:dyDescent="0.3">
      <c r="A11" s="1" t="s">
        <v>24</v>
      </c>
      <c r="B11" s="1" t="s">
        <v>25</v>
      </c>
      <c r="C11" s="3">
        <v>1</v>
      </c>
      <c r="D11" s="3">
        <v>1</v>
      </c>
      <c r="E11" s="3">
        <v>1.22</v>
      </c>
      <c r="F11" s="3"/>
      <c r="G11" s="3"/>
    </row>
    <row r="12" spans="1:7" ht="15.75" thickBot="1" x14ac:dyDescent="0.3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/>
      <c r="G12" s="3"/>
    </row>
    <row r="13" spans="1:7" ht="15.75" thickBot="1" x14ac:dyDescent="0.3">
      <c r="A13" s="1" t="s">
        <v>28</v>
      </c>
      <c r="B13" s="1" t="s">
        <v>29</v>
      </c>
      <c r="C13" s="3">
        <v>1</v>
      </c>
      <c r="D13" s="3">
        <v>0.95</v>
      </c>
      <c r="E13" s="3">
        <v>0.6</v>
      </c>
      <c r="F13" s="3"/>
      <c r="G13" s="3"/>
    </row>
    <row r="14" spans="1:7" ht="15.75" thickBot="1" x14ac:dyDescent="0.3">
      <c r="A14" s="1" t="s">
        <v>30</v>
      </c>
      <c r="B14" s="1" t="s">
        <v>31</v>
      </c>
      <c r="C14" s="3">
        <v>1</v>
      </c>
      <c r="D14" s="3">
        <v>1</v>
      </c>
      <c r="E14" s="3">
        <v>0.81</v>
      </c>
      <c r="F14" s="3"/>
      <c r="G14" s="3"/>
    </row>
    <row r="15" spans="1:7" ht="15.75" thickBot="1" x14ac:dyDescent="0.3">
      <c r="A15" s="1" t="s">
        <v>11</v>
      </c>
      <c r="B15" s="1" t="s">
        <v>32</v>
      </c>
      <c r="C15" s="3">
        <v>1</v>
      </c>
      <c r="D15" s="3">
        <v>1</v>
      </c>
      <c r="E15" s="3">
        <v>0.95</v>
      </c>
      <c r="F15" s="3"/>
      <c r="G15" s="3"/>
    </row>
    <row r="16" spans="1:7" ht="15.75" thickBot="1" x14ac:dyDescent="0.3">
      <c r="A16" s="1" t="s">
        <v>33</v>
      </c>
      <c r="B16" s="1" t="s">
        <v>34</v>
      </c>
      <c r="C16" s="3">
        <v>1</v>
      </c>
      <c r="D16" s="3">
        <v>1</v>
      </c>
      <c r="E16" s="3">
        <v>1.1599999999999999</v>
      </c>
      <c r="F16" s="3"/>
      <c r="G16" s="3"/>
    </row>
    <row r="17" spans="1:7" ht="15.75" thickBot="1" x14ac:dyDescent="0.3">
      <c r="A17" s="1" t="s">
        <v>35</v>
      </c>
      <c r="B17" s="1" t="s">
        <v>36</v>
      </c>
      <c r="C17" s="3">
        <v>1</v>
      </c>
      <c r="D17" s="3">
        <v>1</v>
      </c>
      <c r="E17" s="3">
        <v>0.94</v>
      </c>
      <c r="F17" s="3"/>
      <c r="G17" s="3"/>
    </row>
    <row r="18" spans="1:7" ht="15.75" thickBot="1" x14ac:dyDescent="0.3">
      <c r="A18" s="1" t="s">
        <v>37</v>
      </c>
      <c r="B18" s="1" t="s">
        <v>38</v>
      </c>
      <c r="C18" s="3">
        <v>1</v>
      </c>
      <c r="D18" s="3">
        <v>1</v>
      </c>
      <c r="E18" s="3">
        <v>1.03</v>
      </c>
      <c r="F18" s="3"/>
      <c r="G18" s="3"/>
    </row>
    <row r="19" spans="1:7" ht="15.75" thickBot="1" x14ac:dyDescent="0.3">
      <c r="A19" s="1" t="s">
        <v>39</v>
      </c>
      <c r="B19" s="1" t="s">
        <v>40</v>
      </c>
      <c r="C19" s="3">
        <v>1</v>
      </c>
      <c r="D19" s="3">
        <v>1</v>
      </c>
      <c r="E19" s="3">
        <v>1.1499999999999999</v>
      </c>
      <c r="F19" s="3"/>
      <c r="G19" s="3"/>
    </row>
    <row r="20" spans="1:7" ht="15.75" thickBot="1" x14ac:dyDescent="0.3">
      <c r="A20" s="1" t="s">
        <v>35</v>
      </c>
      <c r="B20" s="1" t="s">
        <v>41</v>
      </c>
      <c r="C20" s="3">
        <v>1</v>
      </c>
      <c r="D20" s="3">
        <v>1</v>
      </c>
      <c r="E20" s="3">
        <v>1.0900000000000001</v>
      </c>
      <c r="F20" s="3"/>
      <c r="G20" s="3"/>
    </row>
    <row r="21" spans="1:7" ht="15.75" thickBot="1" x14ac:dyDescent="0.3">
      <c r="A21" s="1" t="s">
        <v>42</v>
      </c>
      <c r="B21" s="1" t="s">
        <v>43</v>
      </c>
      <c r="C21" s="3">
        <v>1</v>
      </c>
      <c r="D21" s="3">
        <v>1</v>
      </c>
      <c r="E21" s="3">
        <v>1.1200000000000001</v>
      </c>
      <c r="F21" s="3"/>
      <c r="G21" s="3"/>
    </row>
    <row r="22" spans="1:7" ht="15.75" thickBot="1" x14ac:dyDescent="0.3">
      <c r="A22" s="1"/>
      <c r="B22" s="1"/>
      <c r="C22" s="3"/>
      <c r="D22" s="3"/>
      <c r="E22" s="3"/>
      <c r="F22" s="3"/>
      <c r="G22" s="3"/>
    </row>
    <row r="23" spans="1:7" ht="15.75" thickBot="1" x14ac:dyDescent="0.3">
      <c r="A23" s="1"/>
      <c r="B23" s="1"/>
      <c r="C23" s="3"/>
      <c r="D23" s="3"/>
      <c r="E23" s="3"/>
      <c r="F23" s="3"/>
      <c r="G23" s="3"/>
    </row>
    <row r="24" spans="1:7" ht="15.75" thickBot="1" x14ac:dyDescent="0.3">
      <c r="A24" s="1"/>
      <c r="B24" s="1"/>
      <c r="C24" s="3"/>
      <c r="D24" s="3"/>
      <c r="E24" s="3"/>
      <c r="F24" s="3"/>
      <c r="G24" s="3"/>
    </row>
    <row r="25" spans="1:7" ht="15.75" thickBot="1" x14ac:dyDescent="0.3">
      <c r="A25" s="1"/>
      <c r="B25" s="1"/>
      <c r="C25" s="3"/>
      <c r="D25" s="3"/>
      <c r="E25" s="3"/>
      <c r="F25" s="3"/>
      <c r="G25" s="3"/>
    </row>
    <row r="27" spans="1:7" ht="30" x14ac:dyDescent="0.25">
      <c r="A27" s="8" t="s">
        <v>44</v>
      </c>
      <c r="B27" s="2">
        <v>20</v>
      </c>
    </row>
    <row r="28" spans="1:7" x14ac:dyDescent="0.25">
      <c r="A28" t="s">
        <v>45</v>
      </c>
      <c r="C28" s="6">
        <f>SUM(C2:C25)/$B$27</f>
        <v>1</v>
      </c>
      <c r="D28" s="6">
        <f>SUM(D2:D25)/$B$27</f>
        <v>0.99250000000000005</v>
      </c>
      <c r="E28" s="6">
        <f>SUM(E2:E25)/$B$27</f>
        <v>1</v>
      </c>
      <c r="F28" s="6">
        <f>SUM(F2:F25)/$B$27</f>
        <v>0</v>
      </c>
      <c r="G28" s="6">
        <f>SUM(G2:G25)/$B$27</f>
        <v>0</v>
      </c>
    </row>
    <row r="29" spans="1:7" x14ac:dyDescent="0.25">
      <c r="A29" t="s">
        <v>46</v>
      </c>
      <c r="C29" s="7">
        <f>1-C28</f>
        <v>0</v>
      </c>
      <c r="D29" s="7">
        <f t="shared" ref="D29:G29" si="0">1-D28</f>
        <v>7.4999999999999512E-3</v>
      </c>
      <c r="E29" s="7">
        <f t="shared" si="0"/>
        <v>0</v>
      </c>
      <c r="F29" s="7">
        <f t="shared" si="0"/>
        <v>1</v>
      </c>
      <c r="G29" s="7">
        <f t="shared" si="0"/>
        <v>1</v>
      </c>
    </row>
    <row r="32" spans="1:7" x14ac:dyDescent="0.25">
      <c r="A32" s="10" t="s">
        <v>47</v>
      </c>
      <c r="B32" t="s">
        <v>48</v>
      </c>
    </row>
    <row r="33" spans="2:7" x14ac:dyDescent="0.25">
      <c r="B33" s="22" t="s">
        <v>49</v>
      </c>
      <c r="C33" s="22"/>
      <c r="D33" s="22"/>
      <c r="E33" s="22"/>
      <c r="F33" s="22"/>
      <c r="G33" s="22"/>
    </row>
    <row r="34" spans="2:7" ht="79.5" customHeight="1" x14ac:dyDescent="0.25">
      <c r="B34" s="22" t="s">
        <v>50</v>
      </c>
      <c r="C34" s="22"/>
      <c r="D34" s="22"/>
      <c r="E34" s="22"/>
      <c r="F34" s="22"/>
      <c r="G34" s="22"/>
    </row>
    <row r="35" spans="2:7" ht="47.25" customHeight="1" x14ac:dyDescent="0.25">
      <c r="B35" s="22" t="s">
        <v>51</v>
      </c>
      <c r="C35" s="22"/>
      <c r="D35" s="22"/>
      <c r="E35" s="22"/>
      <c r="F35" s="22"/>
      <c r="G35" s="22"/>
    </row>
    <row r="36" spans="2:7" ht="44.25" customHeight="1" x14ac:dyDescent="0.25"/>
    <row r="38" spans="2:7" ht="15.75" x14ac:dyDescent="0.25">
      <c r="D38" s="9"/>
    </row>
  </sheetData>
  <mergeCells count="3">
    <mergeCell ref="B33:G33"/>
    <mergeCell ref="B34:G34"/>
    <mergeCell ref="B35:G35"/>
  </mergeCells>
  <conditionalFormatting sqref="C28:G28">
    <cfRule type="cellIs" dxfId="23" priority="5" operator="equal">
      <formula>1</formula>
    </cfRule>
    <cfRule type="cellIs" dxfId="22" priority="6" operator="equal">
      <formula>0</formula>
    </cfRule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C29:G29">
    <cfRule type="cellIs" dxfId="19" priority="1" operator="equal">
      <formula>""</formula>
    </cfRule>
    <cfRule type="cellIs" dxfId="18" priority="2" operator="equal">
      <formula>0</formula>
    </cfRule>
    <cfRule type="cellIs" dxfId="17" priority="3" operator="greaterThan">
      <formula>0</formula>
    </cfRule>
    <cfRule type="cellIs" dxfId="16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5" ht="101.65" customHeight="1" x14ac:dyDescent="0.25">
      <c r="A1" s="23" t="s">
        <v>52</v>
      </c>
      <c r="B1" s="24"/>
      <c r="C1" s="24"/>
    </row>
    <row r="3" spans="1:5" x14ac:dyDescent="0.25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L32"/>
  <sheetViews>
    <sheetView tabSelected="1" zoomScale="90" zoomScaleNormal="90" workbookViewId="0">
      <selection activeCell="L13" sqref="L13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15.75" thickBot="1" x14ac:dyDescent="0.3">
      <c r="A1" s="12" t="s">
        <v>53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58</v>
      </c>
      <c r="H1" s="4" t="s">
        <v>4</v>
      </c>
    </row>
    <row r="2" spans="1:12" ht="15" customHeight="1" thickBot="1" x14ac:dyDescent="0.3">
      <c r="B2" s="13" t="s">
        <v>7</v>
      </c>
      <c r="C2" s="13" t="s">
        <v>8</v>
      </c>
      <c r="D2" s="16">
        <v>1.2998726851851852</v>
      </c>
      <c r="E2" s="17">
        <f>(D2*24) / 30</f>
        <v>1.0398981481481482</v>
      </c>
      <c r="F2" s="20">
        <v>7.5</v>
      </c>
      <c r="G2" s="20">
        <f>((E2*10)+F2)/2</f>
        <v>8.9494907407407407</v>
      </c>
      <c r="H2" s="3">
        <f>G2 / AVERAGE($G$2:$G$21)</f>
        <v>1.0878984390256532</v>
      </c>
    </row>
    <row r="3" spans="1:12" ht="15" customHeight="1" thickBot="1" x14ac:dyDescent="0.3">
      <c r="B3" s="13" t="s">
        <v>9</v>
      </c>
      <c r="C3" s="13" t="s">
        <v>10</v>
      </c>
      <c r="D3" s="16">
        <v>0.98466435185185186</v>
      </c>
      <c r="E3" s="17">
        <f>(D3*24) / 30</f>
        <v>0.78773148148148142</v>
      </c>
      <c r="F3" s="20">
        <v>6</v>
      </c>
      <c r="G3" s="20">
        <f t="shared" ref="G3:G21" si="0">((E3*10)+F3)/2</f>
        <v>6.9386574074074066</v>
      </c>
      <c r="H3" s="3">
        <f t="shared" ref="H3:H21" si="1">G3 / AVERAGE($G$2:$G$21)</f>
        <v>0.84346191097656997</v>
      </c>
    </row>
    <row r="4" spans="1:12" ht="15" customHeight="1" thickBot="1" x14ac:dyDescent="0.3">
      <c r="B4" s="13" t="s">
        <v>11</v>
      </c>
      <c r="C4" s="13" t="s">
        <v>12</v>
      </c>
      <c r="D4" s="16">
        <v>1.351238425925926</v>
      </c>
      <c r="E4" s="17">
        <f t="shared" ref="E4:E21" si="2">(D4*24) / 30</f>
        <v>1.0809907407407409</v>
      </c>
      <c r="F4" s="20">
        <v>7.5</v>
      </c>
      <c r="G4" s="20">
        <f t="shared" si="0"/>
        <v>9.1549537037037041</v>
      </c>
      <c r="H4" s="3">
        <f t="shared" si="1"/>
        <v>1.1128744787982239</v>
      </c>
    </row>
    <row r="5" spans="1:12" ht="15.75" thickBot="1" x14ac:dyDescent="0.3">
      <c r="B5" s="13" t="s">
        <v>11</v>
      </c>
      <c r="C5" s="13" t="s">
        <v>13</v>
      </c>
      <c r="D5" s="16">
        <v>0.6287962962962963</v>
      </c>
      <c r="E5" s="17">
        <f t="shared" si="2"/>
        <v>0.50303703703703706</v>
      </c>
      <c r="F5" s="20">
        <v>8</v>
      </c>
      <c r="G5" s="20">
        <f t="shared" si="0"/>
        <v>6.5151851851851852</v>
      </c>
      <c r="H5" s="3">
        <f t="shared" si="1"/>
        <v>0.79198470597438364</v>
      </c>
    </row>
    <row r="6" spans="1:12" ht="15" customHeight="1" thickBot="1" x14ac:dyDescent="0.3">
      <c r="B6" s="13" t="s">
        <v>14</v>
      </c>
      <c r="C6" s="13" t="s">
        <v>15</v>
      </c>
      <c r="D6" s="16">
        <v>1.255798611111111</v>
      </c>
      <c r="E6" s="17">
        <f t="shared" si="2"/>
        <v>1.0046388888888889</v>
      </c>
      <c r="F6" s="20">
        <v>8</v>
      </c>
      <c r="G6" s="20">
        <f t="shared" si="0"/>
        <v>9.0231944444444441</v>
      </c>
      <c r="H6" s="3">
        <f t="shared" si="1"/>
        <v>1.096857847614642</v>
      </c>
    </row>
    <row r="7" spans="1:12" ht="15" customHeight="1" thickBot="1" x14ac:dyDescent="0.3">
      <c r="B7" s="13" t="s">
        <v>16</v>
      </c>
      <c r="C7" s="13" t="s">
        <v>17</v>
      </c>
      <c r="D7" s="16">
        <v>1.0743171296296297</v>
      </c>
      <c r="E7" s="17">
        <f t="shared" si="2"/>
        <v>0.85945370370370378</v>
      </c>
      <c r="F7" s="20">
        <v>6</v>
      </c>
      <c r="G7" s="20">
        <f t="shared" si="0"/>
        <v>7.2972685185185187</v>
      </c>
      <c r="H7" s="3">
        <f t="shared" si="1"/>
        <v>0.88705461130967767</v>
      </c>
      <c r="L7" s="18"/>
    </row>
    <row r="8" spans="1:12" ht="15" customHeight="1" thickBot="1" x14ac:dyDescent="0.3">
      <c r="B8" s="13" t="s">
        <v>18</v>
      </c>
      <c r="C8" s="13" t="s">
        <v>19</v>
      </c>
      <c r="D8" s="16">
        <v>1.24125</v>
      </c>
      <c r="E8" s="17">
        <f t="shared" si="2"/>
        <v>0.99299999999999999</v>
      </c>
      <c r="F8" s="20">
        <v>8</v>
      </c>
      <c r="G8" s="20">
        <f t="shared" si="0"/>
        <v>8.9649999999999999</v>
      </c>
      <c r="H8" s="3">
        <f t="shared" si="1"/>
        <v>1.0897837417124066</v>
      </c>
    </row>
    <row r="9" spans="1:12" ht="15" customHeight="1" thickBot="1" x14ac:dyDescent="0.3">
      <c r="B9" s="13" t="s">
        <v>20</v>
      </c>
      <c r="C9" s="13" t="s">
        <v>21</v>
      </c>
      <c r="D9" s="16">
        <v>0.97932870370370373</v>
      </c>
      <c r="E9" s="17">
        <f t="shared" si="2"/>
        <v>0.78346296296296292</v>
      </c>
      <c r="F9" s="20">
        <v>6</v>
      </c>
      <c r="G9" s="20">
        <f t="shared" si="0"/>
        <v>6.917314814814814</v>
      </c>
      <c r="H9" s="3">
        <f t="shared" si="1"/>
        <v>0.84086750936882881</v>
      </c>
    </row>
    <row r="10" spans="1:12" ht="15.75" thickBot="1" x14ac:dyDescent="0.3">
      <c r="B10" s="13" t="s">
        <v>22</v>
      </c>
      <c r="C10" s="13" t="s">
        <v>23</v>
      </c>
      <c r="D10" s="16">
        <v>1.1736111111111112</v>
      </c>
      <c r="E10" s="17">
        <f t="shared" si="2"/>
        <v>0.93888888888888888</v>
      </c>
      <c r="F10" s="20">
        <v>10</v>
      </c>
      <c r="G10" s="20">
        <f t="shared" si="0"/>
        <v>9.6944444444444446</v>
      </c>
      <c r="H10" s="3">
        <f t="shared" si="1"/>
        <v>1.1784548734511677</v>
      </c>
    </row>
    <row r="11" spans="1:12" ht="15.75" thickBot="1" x14ac:dyDescent="0.3">
      <c r="B11" s="13" t="s">
        <v>24</v>
      </c>
      <c r="C11" s="13" t="s">
        <v>25</v>
      </c>
      <c r="D11" s="16">
        <v>1.2672569444444444</v>
      </c>
      <c r="E11" s="17">
        <f t="shared" si="2"/>
        <v>1.0138055555555556</v>
      </c>
      <c r="F11" s="20">
        <v>10</v>
      </c>
      <c r="G11" s="20">
        <f t="shared" si="0"/>
        <v>10.069027777777778</v>
      </c>
      <c r="H11" s="3">
        <f t="shared" si="1"/>
        <v>1.2239891541631707</v>
      </c>
    </row>
    <row r="12" spans="1:12" ht="15.75" thickBot="1" x14ac:dyDescent="0.3">
      <c r="B12" s="13" t="s">
        <v>26</v>
      </c>
      <c r="C12" s="13" t="s">
        <v>27</v>
      </c>
      <c r="D12" s="16">
        <v>1.3055555555555556</v>
      </c>
      <c r="E12" s="17">
        <f t="shared" si="2"/>
        <v>1.0444444444444445</v>
      </c>
      <c r="F12" s="20">
        <v>6</v>
      </c>
      <c r="G12" s="20">
        <f t="shared" si="0"/>
        <v>8.2222222222222214</v>
      </c>
      <c r="H12" s="3">
        <f t="shared" si="1"/>
        <v>0.99949181243995877</v>
      </c>
    </row>
    <row r="13" spans="1:12" ht="15.75" thickBot="1" x14ac:dyDescent="0.3">
      <c r="B13" s="13" t="s">
        <v>28</v>
      </c>
      <c r="C13" s="13" t="s">
        <v>29</v>
      </c>
      <c r="D13" s="16">
        <v>0.6166666666666667</v>
      </c>
      <c r="E13" s="17">
        <f t="shared" si="2"/>
        <v>0.49333333333333335</v>
      </c>
      <c r="F13" s="20">
        <v>5</v>
      </c>
      <c r="G13" s="20">
        <f t="shared" si="0"/>
        <v>4.9666666666666668</v>
      </c>
      <c r="H13" s="3">
        <f t="shared" si="1"/>
        <v>0.60374708129819143</v>
      </c>
    </row>
    <row r="14" spans="1:12" ht="15.75" thickBot="1" x14ac:dyDescent="0.3">
      <c r="B14" s="13" t="s">
        <v>30</v>
      </c>
      <c r="C14" s="13" t="s">
        <v>31</v>
      </c>
      <c r="D14" s="16">
        <v>0.92246527777777776</v>
      </c>
      <c r="E14" s="17">
        <f t="shared" si="2"/>
        <v>0.73797222222222225</v>
      </c>
      <c r="F14" s="20">
        <v>6</v>
      </c>
      <c r="G14" s="20">
        <f t="shared" si="0"/>
        <v>6.689861111111111</v>
      </c>
      <c r="H14" s="3">
        <f t="shared" si="1"/>
        <v>0.81321827921951861</v>
      </c>
      <c r="L14" s="19"/>
    </row>
    <row r="15" spans="1:12" ht="15.75" thickBot="1" x14ac:dyDescent="0.3">
      <c r="B15" s="13" t="s">
        <v>11</v>
      </c>
      <c r="C15" s="13" t="s">
        <v>32</v>
      </c>
      <c r="D15" s="16">
        <v>1.206400462962963</v>
      </c>
      <c r="E15" s="17">
        <f t="shared" si="2"/>
        <v>0.96512037037037035</v>
      </c>
      <c r="F15" s="20">
        <v>6</v>
      </c>
      <c r="G15" s="20">
        <f t="shared" si="0"/>
        <v>7.825601851851852</v>
      </c>
      <c r="H15" s="3">
        <f t="shared" si="1"/>
        <v>0.95127871358200211</v>
      </c>
    </row>
    <row r="16" spans="1:12" ht="15.75" thickBot="1" x14ac:dyDescent="0.3">
      <c r="B16" s="13" t="s">
        <v>33</v>
      </c>
      <c r="C16" s="13" t="s">
        <v>34</v>
      </c>
      <c r="D16" s="16">
        <v>1.2037152777777778</v>
      </c>
      <c r="E16" s="17">
        <f t="shared" si="2"/>
        <v>0.96297222222222223</v>
      </c>
      <c r="F16" s="20">
        <v>9.5</v>
      </c>
      <c r="G16" s="20">
        <f t="shared" si="0"/>
        <v>9.5648611111111101</v>
      </c>
      <c r="H16" s="3">
        <f t="shared" si="1"/>
        <v>1.1627027474206528</v>
      </c>
    </row>
    <row r="17" spans="1:8" ht="15.75" thickBot="1" x14ac:dyDescent="0.3">
      <c r="B17" s="13" t="s">
        <v>35</v>
      </c>
      <c r="C17" s="13" t="s">
        <v>36</v>
      </c>
      <c r="D17" s="16">
        <v>1.1569097222222222</v>
      </c>
      <c r="E17" s="17">
        <f t="shared" si="2"/>
        <v>0.92552777777777773</v>
      </c>
      <c r="F17" s="20">
        <v>6</v>
      </c>
      <c r="G17" s="20">
        <f t="shared" si="0"/>
        <v>7.6276388888888889</v>
      </c>
      <c r="H17" s="3">
        <f t="shared" si="1"/>
        <v>0.92721437242213012</v>
      </c>
    </row>
    <row r="18" spans="1:8" ht="15.75" thickBot="1" x14ac:dyDescent="0.3">
      <c r="B18" s="13" t="s">
        <v>37</v>
      </c>
      <c r="C18" s="13" t="s">
        <v>38</v>
      </c>
      <c r="D18" s="16">
        <v>1.2522800925925925</v>
      </c>
      <c r="E18" s="17">
        <f t="shared" si="2"/>
        <v>1.001824074074074</v>
      </c>
      <c r="F18" s="20">
        <v>7</v>
      </c>
      <c r="G18" s="20">
        <f t="shared" si="0"/>
        <v>8.5091203703703702</v>
      </c>
      <c r="H18" s="3">
        <f t="shared" si="1"/>
        <v>1.0343670982602877</v>
      </c>
    </row>
    <row r="19" spans="1:8" ht="15.75" thickBot="1" x14ac:dyDescent="0.3">
      <c r="B19" s="13" t="s">
        <v>39</v>
      </c>
      <c r="C19" s="13" t="s">
        <v>40</v>
      </c>
      <c r="D19" s="16">
        <v>1.3</v>
      </c>
      <c r="E19" s="17">
        <f t="shared" si="2"/>
        <v>1.04</v>
      </c>
      <c r="F19" s="20">
        <v>8.5</v>
      </c>
      <c r="G19" s="20">
        <f t="shared" si="0"/>
        <v>9.4499999999999993</v>
      </c>
      <c r="H19" s="3">
        <f t="shared" si="1"/>
        <v>1.1487402520002499</v>
      </c>
    </row>
    <row r="20" spans="1:8" ht="15.75" thickBot="1" x14ac:dyDescent="0.3">
      <c r="B20" s="13" t="s">
        <v>35</v>
      </c>
      <c r="C20" s="13" t="s">
        <v>41</v>
      </c>
      <c r="D20" s="16">
        <v>1.2286342592592592</v>
      </c>
      <c r="E20" s="17">
        <f t="shared" si="2"/>
        <v>0.98290740740740745</v>
      </c>
      <c r="F20" s="20">
        <v>8</v>
      </c>
      <c r="G20" s="20">
        <f t="shared" si="0"/>
        <v>8.9145370370370376</v>
      </c>
      <c r="H20" s="3">
        <f t="shared" si="1"/>
        <v>1.0836494732689406</v>
      </c>
    </row>
    <row r="21" spans="1:8" ht="15.75" thickBot="1" x14ac:dyDescent="0.3">
      <c r="B21" s="13" t="s">
        <v>42</v>
      </c>
      <c r="C21" s="13" t="s">
        <v>43</v>
      </c>
      <c r="D21" s="16">
        <v>1.3082523148148149</v>
      </c>
      <c r="E21" s="17">
        <f t="shared" si="2"/>
        <v>1.0466018518518518</v>
      </c>
      <c r="F21" s="20">
        <v>8</v>
      </c>
      <c r="G21" s="20">
        <f t="shared" si="0"/>
        <v>9.2330092592592585</v>
      </c>
      <c r="H21" s="3">
        <f t="shared" si="1"/>
        <v>1.1223628976933464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1"/>
      <c r="D26" s="2" t="s">
        <v>56</v>
      </c>
      <c r="E26" s="2" t="s">
        <v>61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1">
        <v>20</v>
      </c>
      <c r="C27" s="12"/>
      <c r="D27" s="2"/>
      <c r="H27" s="2"/>
    </row>
    <row r="28" spans="1:8" x14ac:dyDescent="0.25">
      <c r="C28" s="25" t="s">
        <v>62</v>
      </c>
      <c r="D28" s="25"/>
      <c r="E28" s="25"/>
      <c r="H28" s="6">
        <f>SUM(H2:H21)/20</f>
        <v>1.0000000000000002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15" priority="13" operator="equal">
      <formula>1</formula>
    </cfRule>
    <cfRule type="cellIs" dxfId="14" priority="14" operator="equal">
      <formula>0</formula>
    </cfRule>
    <cfRule type="cellIs" dxfId="13" priority="15" operator="lessThan">
      <formula>1</formula>
    </cfRule>
    <cfRule type="cellIs" dxfId="12" priority="16" operator="greaterThan">
      <formula>1</formula>
    </cfRule>
  </conditionalFormatting>
  <conditionalFormatting sqref="D29">
    <cfRule type="cellIs" dxfId="11" priority="9" operator="equal">
      <formula>""</formula>
    </cfRule>
    <cfRule type="cellIs" dxfId="10" priority="10" operator="equal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H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H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hyperlinks>
    <hyperlink ref="F26" r:id="rId1" xr:uid="{4B7BCC77-980B-4827-8F82-869233EE6A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SERGIO TERRAZAS LOBATO</cp:lastModifiedBy>
  <cp:revision/>
  <dcterms:created xsi:type="dcterms:W3CDTF">2026-02-12T07:56:44Z</dcterms:created>
  <dcterms:modified xsi:type="dcterms:W3CDTF">2026-03-24T22:40:55Z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