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13" documentId="13_ncr:1_{FCEE317E-BB54-4E85-9248-14271C57C98C}" xr6:coauthVersionLast="47" xr6:coauthVersionMax="47" xr10:uidLastSave="{4DD26575-9C0F-41C5-AF09-35A65E2D1C91}"/>
  <bookViews>
    <workbookView xWindow="-110" yWindow="-110" windowWidth="19420" windowHeight="10300" xr2:uid="{02C8C9D8-2F21-45BA-9A66-91BB45160C54}"/>
  </bookViews>
  <sheets>
    <sheet name="Contribución a los entregables" sheetId="1" r:id="rId1"/>
    <sheet name="Comentarios sobre #DP" sheetId="2" r:id="rId2"/>
    <sheet name="Comentarios sobre #S1" sheetId="3" r:id="rId3"/>
    <sheet name="Comentarios sobre #S2" sheetId="4" r:id="rId4"/>
    <sheet name="Comentarios sobre #S3" sheetId="5" r:id="rId5"/>
    <sheet name="Comentarios sobre #PPL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C29" i="1"/>
  <c r="G29" i="1"/>
  <c r="G30" i="1"/>
  <c r="F29" i="1"/>
  <c r="F30" i="1"/>
  <c r="E29" i="1"/>
  <c r="E30" i="1"/>
  <c r="D29" i="1"/>
  <c r="D30" i="1"/>
  <c r="C30" i="1"/>
</calcChain>
</file>

<file path=xl/sharedStrings.xml><?xml version="1.0" encoding="utf-8"?>
<sst xmlns="http://schemas.openxmlformats.org/spreadsheetml/2006/main" count="58" uniqueCount="55">
  <si>
    <t>Nombre</t>
  </si>
  <si>
    <t>Apellidos</t>
  </si>
  <si>
    <t>Devising a project (#DP)</t>
  </si>
  <si>
    <t>Sprint 1 (#S1)</t>
  </si>
  <si>
    <t>Sprint 2 (#S2)</t>
  </si>
  <si>
    <t>Sprint 3 (#S3)</t>
  </si>
  <si>
    <t>Preparing project launch (#PPL)</t>
  </si>
  <si>
    <t>Santia</t>
  </si>
  <si>
    <t>Bregu</t>
  </si>
  <si>
    <t>Pablo</t>
  </si>
  <si>
    <t>Arrabal Hermoso</t>
  </si>
  <si>
    <t>Manuel</t>
  </si>
  <si>
    <t>Zoilo Buzon Muñoz</t>
  </si>
  <si>
    <t>Chica Lopez</t>
  </si>
  <si>
    <t>Celia del Pilar</t>
  </si>
  <si>
    <t>Dorantes Ruiz</t>
  </si>
  <si>
    <t>Santiago</t>
  </si>
  <si>
    <t>Fernandez Roman</t>
  </si>
  <si>
    <t xml:space="preserve">Juan Antonio </t>
  </si>
  <si>
    <t xml:space="preserve">Fernandez Ruiz </t>
  </si>
  <si>
    <t>Raquel</t>
  </si>
  <si>
    <t xml:space="preserve"> García Hortal</t>
  </si>
  <si>
    <t>Oscar</t>
  </si>
  <si>
    <t xml:space="preserve"> Gomez Gonzalez</t>
  </si>
  <si>
    <t xml:space="preserve"> Manuel</t>
  </si>
  <si>
    <t xml:space="preserve"> Lavado Corredera</t>
  </si>
  <si>
    <t>Guillermo</t>
  </si>
  <si>
    <t>Linares Borrego</t>
  </si>
  <si>
    <t xml:space="preserve"> Ana</t>
  </si>
  <si>
    <t>Martin Carrillo</t>
  </si>
  <si>
    <t xml:space="preserve"> Miguel</t>
  </si>
  <si>
    <t>Arturo Mir Ceballos</t>
  </si>
  <si>
    <t xml:space="preserve"> Roberto</t>
  </si>
  <si>
    <t>Muñoz Perez</t>
  </si>
  <si>
    <t xml:space="preserve"> Orta Perez</t>
  </si>
  <si>
    <t xml:space="preserve"> Javier</t>
  </si>
  <si>
    <t xml:space="preserve"> Pallarés González</t>
  </si>
  <si>
    <t xml:space="preserve"> Dario</t>
  </si>
  <si>
    <t xml:space="preserve"> Rodriguez Sastre</t>
  </si>
  <si>
    <t>Jose Maria</t>
  </si>
  <si>
    <t>Silva Guzman</t>
  </si>
  <si>
    <t>Sergio</t>
  </si>
  <si>
    <t xml:space="preserve"> Terrazas Lobato</t>
  </si>
  <si>
    <t>Zafra Ruiz</t>
  </si>
  <si>
    <t>Jose</t>
  </si>
  <si>
    <t>Egido Carnereo</t>
  </si>
  <si>
    <t>Numero de Miembros</t>
  </si>
  <si>
    <t>TOTAL Asignado</t>
  </si>
  <si>
    <t>Por Asignar</t>
  </si>
  <si>
    <t>IMPORTANTE:</t>
  </si>
  <si>
    <t>La fila de TOTAL Asignado debe tener el valor 100% (resaltado en verde).</t>
  </si>
  <si>
    <t>Solo se permitirá una distribución asimétrica si se justifica en terminos de que una persona ha hecho una dedicacion en horas menora la esperada (10h semanales) y eso a provocado que no ha podido completar tareas que han debido ser reasignadas a otro miembro que, a su vez, ha tenido que hacer un sobreesfuerzo en horas para completarlas.</t>
  </si>
  <si>
    <t>En el caso de que la distribución sea asimetrica, hay que rellenar un comentario explicando la situación en la pestaña "Comentarios sobre XX" del entregable correspondiente.</t>
  </si>
  <si>
    <t>En cada entregable solo se puede actualizar la columna del entregable correspondiente SIN modificar la distribución de entregables anteriores.</t>
  </si>
  <si>
    <t>Comentarios sobre 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</si>
</sst>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1"/>
      <name val="Aptos Narrow"/>
      <family val="2"/>
      <scheme val="minor"/>
    </font>
    <font>
      <sz val="12"/>
      <color theme="1"/>
      <name val="Calibri"/>
      <family val="2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9" fontId="2" fillId="0" borderId="1" xfId="1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2">
    <cellStyle name="Normal" xfId="0" builtinId="0"/>
    <cellStyle name="Porcentaje" xfId="1" builtinId="5"/>
  </cellStyles>
  <dxfs count="8"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  <border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bgColor theme="9" tint="0.79998168889431442"/>
        </patternFill>
      </fill>
    </dxf>
  </dxfs>
  <tableStyles count="0" defaultTableStyle="TableStyleMedium2" defaultPivotStyle="PivotStyleLight16"/>
  <colors>
    <mruColors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89C9-C95E-4402-8344-C5801FC30A20}">
  <dimension ref="A1:G39"/>
  <sheetViews>
    <sheetView tabSelected="1" workbookViewId="0">
      <selection activeCell="I5" sqref="I5"/>
    </sheetView>
  </sheetViews>
  <sheetFormatPr defaultColWidth="11.42578125" defaultRowHeight="15"/>
  <cols>
    <col min="1" max="1" width="16.140625" customWidth="1"/>
    <col min="2" max="2" width="38.140625" customWidth="1"/>
    <col min="3" max="7" width="10.7109375" style="2" customWidth="1"/>
  </cols>
  <sheetData>
    <row r="1" spans="1:7" s="5" customFormat="1" ht="42.75" thickBo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ht="15.75" thickBot="1">
      <c r="A2" s="1" t="s">
        <v>7</v>
      </c>
      <c r="B2" s="1" t="s">
        <v>8</v>
      </c>
      <c r="C2" s="3">
        <v>1</v>
      </c>
      <c r="D2" s="3"/>
      <c r="E2" s="3"/>
      <c r="F2" s="3"/>
      <c r="G2" s="3"/>
    </row>
    <row r="3" spans="1:7" ht="30" customHeight="1" thickBot="1">
      <c r="A3" s="1" t="s">
        <v>9</v>
      </c>
      <c r="B3" s="1" t="s">
        <v>10</v>
      </c>
      <c r="C3" s="3">
        <v>1</v>
      </c>
      <c r="D3" s="3"/>
      <c r="E3" s="3"/>
      <c r="F3" s="3"/>
      <c r="G3" s="3"/>
    </row>
    <row r="4" spans="1:7" ht="25.5" thickBot="1">
      <c r="A4" s="1" t="s">
        <v>11</v>
      </c>
      <c r="B4" s="1" t="s">
        <v>12</v>
      </c>
      <c r="C4" s="3">
        <v>1</v>
      </c>
      <c r="D4" s="3"/>
      <c r="E4" s="3"/>
      <c r="F4" s="3"/>
      <c r="G4" s="3"/>
    </row>
    <row r="5" spans="1:7" ht="15.75" thickBot="1">
      <c r="A5" s="1" t="s">
        <v>11</v>
      </c>
      <c r="B5" s="1" t="s">
        <v>13</v>
      </c>
      <c r="C5" s="3">
        <v>1</v>
      </c>
      <c r="D5" s="3"/>
      <c r="E5" s="3"/>
      <c r="F5" s="3"/>
      <c r="G5" s="3"/>
    </row>
    <row r="6" spans="1:7">
      <c r="A6" s="1" t="s">
        <v>14</v>
      </c>
      <c r="B6" s="1" t="s">
        <v>15</v>
      </c>
      <c r="C6" s="3">
        <v>1</v>
      </c>
      <c r="D6" s="3"/>
      <c r="E6" s="3"/>
      <c r="F6" s="3"/>
      <c r="G6" s="3"/>
    </row>
    <row r="7" spans="1:7" ht="25.5" thickBot="1">
      <c r="A7" s="1" t="s">
        <v>16</v>
      </c>
      <c r="B7" s="1" t="s">
        <v>17</v>
      </c>
      <c r="C7" s="3">
        <v>1</v>
      </c>
      <c r="D7" s="3"/>
      <c r="E7" s="3"/>
      <c r="F7" s="3"/>
      <c r="G7" s="3"/>
    </row>
    <row r="8" spans="1:7" ht="15.75" thickBot="1">
      <c r="A8" s="1" t="s">
        <v>18</v>
      </c>
      <c r="B8" s="1" t="s">
        <v>19</v>
      </c>
      <c r="C8" s="3">
        <v>1</v>
      </c>
      <c r="D8" s="3"/>
      <c r="E8" s="3"/>
      <c r="F8" s="3"/>
      <c r="G8" s="3"/>
    </row>
    <row r="9" spans="1:7" ht="15.75" thickBot="1">
      <c r="A9" s="1" t="s">
        <v>20</v>
      </c>
      <c r="B9" s="1" t="s">
        <v>21</v>
      </c>
      <c r="C9" s="3">
        <v>1</v>
      </c>
      <c r="D9" s="3"/>
      <c r="E9" s="3"/>
      <c r="F9" s="3"/>
      <c r="G9" s="3"/>
    </row>
    <row r="10" spans="1:7" ht="15.75" thickBot="1">
      <c r="A10" s="1" t="s">
        <v>22</v>
      </c>
      <c r="B10" s="1" t="s">
        <v>23</v>
      </c>
      <c r="C10" s="3">
        <v>1</v>
      </c>
      <c r="D10" s="3"/>
      <c r="E10" s="3"/>
      <c r="F10" s="3"/>
      <c r="G10" s="3"/>
    </row>
    <row r="11" spans="1:7" ht="25.5" thickBot="1">
      <c r="A11" s="1" t="s">
        <v>24</v>
      </c>
      <c r="B11" s="1" t="s">
        <v>25</v>
      </c>
      <c r="C11" s="3">
        <v>1</v>
      </c>
      <c r="D11" s="3"/>
      <c r="E11" s="3"/>
      <c r="F11" s="3"/>
      <c r="G11" s="3"/>
    </row>
    <row r="12" spans="1:7" ht="15.75" thickBot="1">
      <c r="A12" s="1" t="s">
        <v>26</v>
      </c>
      <c r="B12" s="1" t="s">
        <v>27</v>
      </c>
      <c r="C12" s="3">
        <v>1</v>
      </c>
      <c r="D12" s="3"/>
      <c r="E12" s="3"/>
      <c r="F12" s="3"/>
      <c r="G12" s="3"/>
    </row>
    <row r="13" spans="1:7" ht="15.75" thickBot="1">
      <c r="A13" s="1" t="s">
        <v>28</v>
      </c>
      <c r="B13" s="1" t="s">
        <v>29</v>
      </c>
      <c r="C13" s="3">
        <v>1</v>
      </c>
      <c r="D13" s="3"/>
      <c r="E13" s="3"/>
      <c r="F13" s="3"/>
      <c r="G13" s="3"/>
    </row>
    <row r="14" spans="1:7">
      <c r="A14" s="1" t="s">
        <v>30</v>
      </c>
      <c r="B14" s="1" t="s">
        <v>31</v>
      </c>
      <c r="C14" s="3">
        <v>1</v>
      </c>
      <c r="D14" s="3"/>
      <c r="E14" s="3"/>
      <c r="F14" s="3"/>
      <c r="G14" s="3"/>
    </row>
    <row r="15" spans="1:7">
      <c r="A15" s="1" t="s">
        <v>32</v>
      </c>
      <c r="B15" s="1" t="s">
        <v>33</v>
      </c>
      <c r="C15" s="3">
        <v>1</v>
      </c>
      <c r="D15" s="3"/>
      <c r="E15" s="3"/>
      <c r="F15" s="3"/>
      <c r="G15" s="3"/>
    </row>
    <row r="16" spans="1:7" ht="15.75" thickBot="1">
      <c r="A16" s="1" t="s">
        <v>11</v>
      </c>
      <c r="B16" s="1" t="s">
        <v>34</v>
      </c>
      <c r="C16" s="3">
        <v>1</v>
      </c>
      <c r="D16" s="3"/>
      <c r="E16" s="3"/>
      <c r="F16" s="3"/>
      <c r="G16" s="3"/>
    </row>
    <row r="17" spans="1:7" ht="25.5" thickBot="1">
      <c r="A17" s="1" t="s">
        <v>35</v>
      </c>
      <c r="B17" s="1" t="s">
        <v>36</v>
      </c>
      <c r="C17" s="3">
        <v>1</v>
      </c>
      <c r="D17" s="3"/>
      <c r="E17" s="3"/>
      <c r="F17" s="3"/>
      <c r="G17" s="3"/>
    </row>
    <row r="18" spans="1:7" ht="15.75" thickBot="1">
      <c r="A18" s="1" t="s">
        <v>37</v>
      </c>
      <c r="B18" s="1" t="s">
        <v>38</v>
      </c>
      <c r="C18" s="3">
        <v>1</v>
      </c>
      <c r="D18" s="3"/>
      <c r="E18" s="3"/>
      <c r="F18" s="3"/>
      <c r="G18" s="3"/>
    </row>
    <row r="19" spans="1:7" ht="15.75" thickBot="1">
      <c r="A19" s="1" t="s">
        <v>39</v>
      </c>
      <c r="B19" s="1" t="s">
        <v>40</v>
      </c>
      <c r="C19" s="3">
        <v>1</v>
      </c>
      <c r="D19" s="3"/>
      <c r="E19" s="3"/>
      <c r="F19" s="3"/>
      <c r="G19" s="3"/>
    </row>
    <row r="20" spans="1:7" ht="15.75" thickBot="1">
      <c r="A20" s="1" t="s">
        <v>41</v>
      </c>
      <c r="B20" s="1" t="s">
        <v>42</v>
      </c>
      <c r="C20" s="3">
        <v>1</v>
      </c>
      <c r="D20" s="3"/>
      <c r="E20" s="3"/>
      <c r="F20" s="3"/>
      <c r="G20" s="3"/>
    </row>
    <row r="21" spans="1:7" ht="15.75" thickBot="1">
      <c r="A21" s="1" t="s">
        <v>37</v>
      </c>
      <c r="B21" s="1" t="s">
        <v>43</v>
      </c>
      <c r="C21" s="3">
        <v>1</v>
      </c>
      <c r="D21" s="3"/>
      <c r="E21" s="3"/>
      <c r="F21" s="3"/>
      <c r="G21" s="3"/>
    </row>
    <row r="22" spans="1:7">
      <c r="A22" s="1" t="s">
        <v>44</v>
      </c>
      <c r="B22" s="1" t="s">
        <v>45</v>
      </c>
      <c r="C22" s="3">
        <v>1</v>
      </c>
      <c r="D22" s="3"/>
      <c r="E22" s="3"/>
      <c r="F22" s="3"/>
      <c r="G22" s="3"/>
    </row>
    <row r="23" spans="1:7" ht="15.75" thickBot="1">
      <c r="A23" s="1"/>
      <c r="B23" s="1"/>
      <c r="C23" s="3"/>
      <c r="D23" s="3"/>
      <c r="E23" s="3"/>
      <c r="F23" s="3"/>
      <c r="G23" s="3"/>
    </row>
    <row r="24" spans="1:7" ht="15.75" thickBot="1">
      <c r="A24" s="1"/>
      <c r="B24" s="1"/>
      <c r="C24" s="3"/>
      <c r="D24" s="3"/>
      <c r="E24" s="3"/>
      <c r="F24" s="3"/>
      <c r="G24" s="3"/>
    </row>
    <row r="25" spans="1:7" ht="15.75" thickBot="1">
      <c r="A25" s="1"/>
      <c r="B25" s="1"/>
      <c r="C25" s="3"/>
      <c r="D25" s="3"/>
      <c r="E25" s="3"/>
      <c r="F25" s="3"/>
      <c r="G25" s="3"/>
    </row>
    <row r="26" spans="1:7" ht="15.75" thickBot="1">
      <c r="A26" s="1"/>
      <c r="B26" s="1"/>
      <c r="C26" s="3"/>
      <c r="D26" s="3"/>
      <c r="E26" s="3"/>
      <c r="F26" s="3"/>
      <c r="G26" s="3"/>
    </row>
    <row r="28" spans="1:7" ht="27.75">
      <c r="A28" s="8" t="s">
        <v>46</v>
      </c>
      <c r="B28" s="2">
        <f>COUNTA(A2:A26)</f>
        <v>21</v>
      </c>
    </row>
    <row r="29" spans="1:7">
      <c r="A29" t="s">
        <v>47</v>
      </c>
      <c r="C29" s="6">
        <f>SUM(C2:C26)/$B$28</f>
        <v>1</v>
      </c>
      <c r="D29" s="6">
        <f t="shared" ref="D29:G29" si="0">SUM(D2:D26)/$B$28</f>
        <v>0</v>
      </c>
      <c r="E29" s="6">
        <f t="shared" si="0"/>
        <v>0</v>
      </c>
      <c r="F29" s="6">
        <f t="shared" si="0"/>
        <v>0</v>
      </c>
      <c r="G29" s="6">
        <f t="shared" si="0"/>
        <v>0</v>
      </c>
    </row>
    <row r="30" spans="1:7">
      <c r="A30" t="s">
        <v>48</v>
      </c>
      <c r="C30" s="7">
        <f>1-C29</f>
        <v>0</v>
      </c>
      <c r="D30" s="7">
        <f t="shared" ref="D30:G30" si="1">1-D29</f>
        <v>1</v>
      </c>
      <c r="E30" s="7">
        <f t="shared" si="1"/>
        <v>1</v>
      </c>
      <c r="F30" s="7">
        <f t="shared" si="1"/>
        <v>1</v>
      </c>
      <c r="G30" s="7">
        <f t="shared" si="1"/>
        <v>1</v>
      </c>
    </row>
    <row r="33" spans="1:7">
      <c r="A33" s="10" t="s">
        <v>49</v>
      </c>
      <c r="B33" t="s">
        <v>50</v>
      </c>
    </row>
    <row r="34" spans="1:7" ht="79.5" customHeight="1">
      <c r="B34" s="11" t="s">
        <v>51</v>
      </c>
      <c r="C34" s="11"/>
      <c r="D34" s="11"/>
      <c r="E34" s="11"/>
      <c r="F34" s="11"/>
      <c r="G34" s="11"/>
    </row>
    <row r="35" spans="1:7" ht="47.25" customHeight="1">
      <c r="B35" s="11" t="s">
        <v>52</v>
      </c>
      <c r="C35" s="11"/>
      <c r="D35" s="11"/>
      <c r="E35" s="11"/>
      <c r="F35" s="11"/>
      <c r="G35" s="11"/>
    </row>
    <row r="36" spans="1:7" ht="44.25" customHeight="1">
      <c r="B36" s="11" t="s">
        <v>53</v>
      </c>
      <c r="C36" s="11"/>
      <c r="D36" s="11"/>
      <c r="E36" s="11"/>
      <c r="F36" s="11"/>
      <c r="G36" s="11"/>
    </row>
    <row r="39" spans="1:7">
      <c r="D39" s="9"/>
    </row>
  </sheetData>
  <mergeCells count="3">
    <mergeCell ref="B34:G34"/>
    <mergeCell ref="B35:G35"/>
    <mergeCell ref="B36:G36"/>
  </mergeCells>
  <conditionalFormatting sqref="C29:G29">
    <cfRule type="cellIs" dxfId="7" priority="5" operator="equal">
      <formula>1</formula>
    </cfRule>
    <cfRule type="cellIs" dxfId="6" priority="6" operator="equal">
      <formula>0</formula>
    </cfRule>
    <cfRule type="cellIs" dxfId="5" priority="7" operator="lessThan">
      <formula>1</formula>
    </cfRule>
    <cfRule type="cellIs" dxfId="4" priority="8" operator="greaterThan">
      <formula>1</formula>
    </cfRule>
  </conditionalFormatting>
  <conditionalFormatting sqref="C30:G30">
    <cfRule type="cellIs" dxfId="3" priority="1" operator="equal">
      <formula>""</formula>
    </cfRule>
    <cfRule type="cellIs" dxfId="2" priority="2" operator="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F382-02E1-40C2-A4CE-CF742186EEF1}"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7D492-76AC-48CC-8E70-4FD580B74AA0}"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8AA91-50C5-45F4-80B4-D403EC3F6E09}">
  <dimension ref="A1"/>
  <sheetViews>
    <sheetView workbookViewId="0"/>
  </sheetViews>
  <sheetFormatPr defaultColWidth="11.42578125" defaultRowHeight="15"/>
  <sheetData>
    <row r="1" spans="1:1">
      <c r="A1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04E1-60A0-43FB-A9A1-0E8466BB8143}"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579F-62C1-4DAA-AEA7-548BB531F479}"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9E9797445E2EA4280A45CB90FD95CBD" ma:contentTypeVersion="7" ma:contentTypeDescription="Crear nuevo documento." ma:contentTypeScope="" ma:versionID="b362696dc43ecf0429c4c65f28c02171">
  <xsd:schema xmlns:xsd="http://www.w3.org/2001/XMLSchema" xmlns:xs="http://www.w3.org/2001/XMLSchema" xmlns:p="http://schemas.microsoft.com/office/2006/metadata/properties" xmlns:ns2="ba0fee18-8f7d-444d-be37-1e56d133d327" targetNamespace="http://schemas.microsoft.com/office/2006/metadata/properties" ma:root="true" ma:fieldsID="79fc1cf0b24a9b8e3e12f8f8264ba269" ns2:_="">
    <xsd:import namespace="ba0fee18-8f7d-444d-be37-1e56d133d32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fee18-8f7d-444d-be37-1e56d133d3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4B272D-551A-4AF9-B220-C688C9745ED1}"/>
</file>

<file path=customXml/itemProps2.xml><?xml version="1.0" encoding="utf-8"?>
<ds:datastoreItem xmlns:ds="http://schemas.openxmlformats.org/officeDocument/2006/customXml" ds:itemID="{EC0DDDC5-E50E-4F26-8594-4A1786F565B7}"/>
</file>

<file path=customXml/itemProps3.xml><?xml version="1.0" encoding="utf-8"?>
<ds:datastoreItem xmlns:ds="http://schemas.openxmlformats.org/officeDocument/2006/customXml" ds:itemID="{0D0D844A-E87E-42E2-B155-132CABE678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FERNANDEZ MONTES</dc:creator>
  <cp:keywords/>
  <dc:description/>
  <cp:lastModifiedBy>CELIA DEL PILAR DORANTES RUIZ</cp:lastModifiedBy>
  <cp:revision/>
  <dcterms:created xsi:type="dcterms:W3CDTF">2026-02-12T07:56:44Z</dcterms:created>
  <dcterms:modified xsi:type="dcterms:W3CDTF">2026-02-17T15:10:08Z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0x01010099E9797445E2EA4280A45CB90FD95CBD</vt:lpwstr>
  </property>
</Properties>
</file>